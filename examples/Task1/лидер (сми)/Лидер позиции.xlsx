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Документы и платежи\Исполнение\_Текущие\Лидер (до 08.26)\"/>
    </mc:Choice>
  </mc:AlternateContent>
  <xr:revisionPtr revIDLastSave="0" documentId="13_ncr:1_{9E849F65-865F-447E-B50B-F385047C6021}" xr6:coauthVersionLast="47" xr6:coauthVersionMax="47" xr10:uidLastSave="{00000000-0000-0000-0000-000000000000}"/>
  <bookViews>
    <workbookView xWindow="-120" yWindow="-120" windowWidth="29040" windowHeight="15840" xr2:uid="{E390ED9D-B42D-4FB5-A424-E72BF579E73F}"/>
  </bookViews>
  <sheets>
    <sheet name="Лист1" sheetId="1" r:id="rId1"/>
    <sheet name="Соц. сет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M8" i="1"/>
  <c r="K8" i="1"/>
  <c r="I8" i="1"/>
  <c r="G8" i="1"/>
  <c r="E8" i="1"/>
  <c r="M7" i="1"/>
  <c r="G7" i="1"/>
  <c r="E7" i="1"/>
  <c r="C7" i="1"/>
  <c r="M6" i="1"/>
  <c r="K6" i="1"/>
  <c r="E6" i="1"/>
  <c r="C6" i="1"/>
  <c r="M5" i="1"/>
  <c r="K5" i="1"/>
  <c r="G5" i="1"/>
  <c r="E5" i="1"/>
  <c r="C5" i="1"/>
  <c r="M4" i="1"/>
  <c r="G4" i="1"/>
  <c r="E4" i="1"/>
  <c r="M3" i="1"/>
  <c r="G3" i="1"/>
  <c r="E3" i="1"/>
  <c r="C3" i="1"/>
</calcChain>
</file>

<file path=xl/sharedStrings.xml><?xml version="1.0" encoding="utf-8"?>
<sst xmlns="http://schemas.openxmlformats.org/spreadsheetml/2006/main" count="59" uniqueCount="45">
  <si>
    <t>Оказываемая услуга и ее описание</t>
  </si>
  <si>
    <t>Сайт</t>
  </si>
  <si>
    <t>PrimaMedia</t>
  </si>
  <si>
    <t>AmurMedia</t>
  </si>
  <si>
    <t>SakhalinMedia</t>
  </si>
  <si>
    <t>YakutiaMedia</t>
  </si>
  <si>
    <t>PriamurMedia</t>
  </si>
  <si>
    <t>KamchatkaMedia</t>
  </si>
  <si>
    <t>Название СМИ</t>
  </si>
  <si>
    <t>Сетевое издание «Информационное агентство PrimaMedia»</t>
  </si>
  <si>
    <t>https://vk.com/primamediaru</t>
  </si>
  <si>
    <t>https://ok.ru/primamedia</t>
  </si>
  <si>
    <t>https://t.me/primamedia</t>
  </si>
  <si>
    <t>https://dzen.ru/primamedia.ru</t>
  </si>
  <si>
    <t>Сетевое издание «Информационное агентство AmurMedia»</t>
  </si>
  <si>
    <t>https://vk.com/amurmedia</t>
  </si>
  <si>
    <t>https://ok.ru/amurmedia</t>
  </si>
  <si>
    <t>https://t.me/amurmedianews</t>
  </si>
  <si>
    <t>https://dzen.ru/amurmedia.ru</t>
  </si>
  <si>
    <t>Сетевое издание «Информационное агентство SakhalinMedia»</t>
  </si>
  <si>
    <t>https://vk.com/sakhalinmediaru</t>
  </si>
  <si>
    <t>https://ok.ru/sakhalinmedia</t>
  </si>
  <si>
    <t>Сетевое издание «Информационное агентство YakutiaMedia»</t>
  </si>
  <si>
    <t>https://vk.com/yakutiamedia</t>
  </si>
  <si>
    <t>https://ok.ru/yakutiamedia</t>
  </si>
  <si>
    <t>https://t.me/yakutiamedianews</t>
  </si>
  <si>
    <t>https://dzen.ru/yakutiamedia.ru</t>
  </si>
  <si>
    <t>Сетевое издание «Информационное агентство PriamurMedia»</t>
  </si>
  <si>
    <t>https://vk.com/priamurmedia</t>
  </si>
  <si>
    <t>https://ok.ru/priamurmedia</t>
  </si>
  <si>
    <t>https://t.me/priamurmedia</t>
  </si>
  <si>
    <t>Сетевое издание «Информационное агентство KamchatkaMedia»</t>
  </si>
  <si>
    <t>https://t.me/kamchatkamediaru</t>
  </si>
  <si>
    <t>1 000</t>
  </si>
  <si>
    <t>Размещение информационного материала на основе материалов заказчика в ленте новостей, с НДС</t>
  </si>
  <si>
    <t>Размещение фоторепортажа в ленте новостей, с НДС</t>
  </si>
  <si>
    <t>Подготовка и размещение информационного материала в ленте новостей, с НДС</t>
  </si>
  <si>
    <t>Подготовка и размещение информационного материала с комментарием эксперта в ленте новостей, с НДС</t>
  </si>
  <si>
    <t>Подготовка и размещение фоторепортажа в ленте новостей, с НДС</t>
  </si>
  <si>
    <t>Закрепление (анонсирование) информационного материала на главной странице, с НДС</t>
  </si>
  <si>
    <t>Стоимость</t>
  </si>
  <si>
    <t>https://t.me/sakhalinmedianews
https://dzen.ru/sakhalinmedia.ru</t>
  </si>
  <si>
    <t>https://vk.com/kamchatkamedia
https://ok.ru/kamchatkamedia</t>
  </si>
  <si>
    <t>C НДС</t>
  </si>
  <si>
    <t>Размещение в социальной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</si>
</sst>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18" fillId="0" borderId="11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49" fontId="21" fillId="0" borderId="0" xfId="0" applyNumberFormat="1" applyFont="1"/>
    <xf numFmtId="0" fontId="21" fillId="0" borderId="0" xfId="0" applyFont="1"/>
    <xf numFmtId="4" fontId="21" fillId="0" borderId="0" xfId="0" applyNumberFormat="1" applyFont="1"/>
    <xf numFmtId="0" fontId="22" fillId="0" borderId="10" xfId="42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3" fillId="0" borderId="0" xfId="0" applyFont="1"/>
    <xf numFmtId="0" fontId="24" fillId="0" borderId="14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4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8" fillId="33" borderId="11" xfId="0" applyFont="1" applyFill="1" applyBorder="1" applyAlignment="1">
      <alignment horizontal="righ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2" fillId="0" borderId="11" xfId="42" applyFont="1" applyBorder="1" applyAlignment="1">
      <alignment horizontal="center" vertical="center" wrapText="1"/>
    </xf>
    <xf numFmtId="0" fontId="22" fillId="0" borderId="12" xfId="42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2" fillId="0" borderId="15" xfId="42" applyFont="1" applyBorder="1" applyAlignment="1">
      <alignment horizontal="center" vertical="center" wrapText="1"/>
    </xf>
    <xf numFmtId="0" fontId="22" fillId="0" borderId="10" xfId="42" applyFont="1" applyBorder="1" applyAlignment="1">
      <alignment horizontal="center" vertical="center" wrapText="1"/>
    </xf>
    <xf numFmtId="4" fontId="23" fillId="0" borderId="11" xfId="0" applyNumberFormat="1" applyFont="1" applyBorder="1" applyAlignment="1">
      <alignment horizontal="center" vertical="center" wrapText="1"/>
    </xf>
    <xf numFmtId="4" fontId="23" fillId="0" borderId="12" xfId="0" applyNumberFormat="1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4" fontId="23" fillId="0" borderId="15" xfId="0" applyNumberFormat="1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1" fontId="23" fillId="0" borderId="11" xfId="0" applyNumberFormat="1" applyFont="1" applyBorder="1" applyAlignment="1">
      <alignment horizontal="center" vertical="center" wrapText="1"/>
    </xf>
    <xf numFmtId="1" fontId="23" fillId="0" borderId="15" xfId="0" applyNumberFormat="1" applyFont="1" applyBorder="1" applyAlignment="1">
      <alignment horizontal="center" vertical="center" wrapText="1"/>
    </xf>
    <xf numFmtId="1" fontId="23" fillId="0" borderId="12" xfId="0" applyNumberFormat="1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kamchatkamediaru" TargetMode="External"/><Relationship Id="rId2" Type="http://schemas.openxmlformats.org/officeDocument/2006/relationships/hyperlink" Target="https://dzen.ru/amurmedia.ru" TargetMode="External"/><Relationship Id="rId1" Type="http://schemas.openxmlformats.org/officeDocument/2006/relationships/hyperlink" Target="https://t.me/priamurmedia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25D2-A371-4A29-9AE9-84647BE62956}">
  <sheetPr>
    <pageSetUpPr fitToPage="1"/>
  </sheetPr>
  <dimension ref="A1:M10"/>
  <sheetViews>
    <sheetView tabSelected="1" zoomScaleNormal="100" workbookViewId="0">
      <selection activeCell="P3" sqref="P3"/>
    </sheetView>
  </sheetViews>
  <sheetFormatPr defaultRowHeight="15" x14ac:dyDescent="0.25"/>
  <cols>
    <col min="1" max="1" width="25" style="2" customWidth="1"/>
    <col min="2" max="2" width="3.140625" style="2" customWidth="1"/>
    <col min="3" max="3" width="10.7109375" style="16" customWidth="1"/>
    <col min="4" max="4" width="3.140625" style="16" customWidth="1"/>
    <col min="5" max="5" width="10.7109375" style="16" customWidth="1"/>
    <col min="6" max="6" width="3.140625" style="16" customWidth="1"/>
    <col min="7" max="7" width="10.7109375" style="16" customWidth="1"/>
    <col min="8" max="8" width="3.140625" style="16" customWidth="1"/>
    <col min="9" max="9" width="10.7109375" style="16" customWidth="1"/>
    <col min="10" max="10" width="3.140625" style="16" customWidth="1"/>
    <col min="11" max="11" width="10.7109375" style="16" customWidth="1"/>
    <col min="12" max="12" width="3.140625" style="16" customWidth="1"/>
    <col min="13" max="13" width="10.7109375" style="16" customWidth="1"/>
  </cols>
  <sheetData>
    <row r="1" spans="1:13" ht="44.25" customHeight="1" x14ac:dyDescent="0.25">
      <c r="A1" s="19" t="s">
        <v>0</v>
      </c>
      <c r="B1" s="13"/>
      <c r="C1" s="18" t="s">
        <v>1</v>
      </c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25.5" x14ac:dyDescent="0.25">
      <c r="A2" s="20"/>
      <c r="B2" s="14"/>
      <c r="C2" s="12" t="s">
        <v>2</v>
      </c>
      <c r="D2" s="12"/>
      <c r="E2" s="12" t="s">
        <v>3</v>
      </c>
      <c r="F2" s="12"/>
      <c r="G2" s="12" t="s">
        <v>4</v>
      </c>
      <c r="H2" s="12"/>
      <c r="I2" s="12" t="s">
        <v>5</v>
      </c>
      <c r="J2" s="12"/>
      <c r="K2" s="12" t="s">
        <v>6</v>
      </c>
      <c r="L2" s="12"/>
      <c r="M2" s="12" t="s">
        <v>7</v>
      </c>
    </row>
    <row r="3" spans="1:13" ht="84.75" customHeight="1" x14ac:dyDescent="0.25">
      <c r="A3" s="3" t="s">
        <v>34</v>
      </c>
      <c r="B3" s="17">
        <v>1</v>
      </c>
      <c r="C3" s="15">
        <f>28000</f>
        <v>28000</v>
      </c>
      <c r="D3" s="17">
        <v>2</v>
      </c>
      <c r="E3" s="15">
        <f>24000</f>
        <v>24000</v>
      </c>
      <c r="F3" s="17">
        <v>3</v>
      </c>
      <c r="G3" s="15">
        <f>19000</f>
        <v>19000</v>
      </c>
      <c r="H3" s="17">
        <v>4</v>
      </c>
      <c r="I3" s="15">
        <v>16000</v>
      </c>
      <c r="J3" s="17">
        <v>5</v>
      </c>
      <c r="K3" s="15">
        <v>13000</v>
      </c>
      <c r="L3" s="17">
        <v>6</v>
      </c>
      <c r="M3" s="15">
        <f>15000</f>
        <v>15000</v>
      </c>
    </row>
    <row r="4" spans="1:13" ht="53.25" customHeight="1" x14ac:dyDescent="0.25">
      <c r="A4" s="3" t="s">
        <v>35</v>
      </c>
      <c r="B4" s="17">
        <v>7</v>
      </c>
      <c r="C4" s="15">
        <f>28000</f>
        <v>28000</v>
      </c>
      <c r="D4" s="17">
        <v>8</v>
      </c>
      <c r="E4" s="15">
        <f>24000</f>
        <v>24000</v>
      </c>
      <c r="F4" s="17">
        <v>9</v>
      </c>
      <c r="G4" s="15">
        <f>19000</f>
        <v>19000</v>
      </c>
      <c r="H4" s="17">
        <v>10</v>
      </c>
      <c r="I4" s="15">
        <v>16000</v>
      </c>
      <c r="J4" s="17">
        <v>11</v>
      </c>
      <c r="K4" s="15">
        <v>13000</v>
      </c>
      <c r="L4" s="17">
        <v>12</v>
      </c>
      <c r="M4" s="15">
        <f>15000</f>
        <v>15000</v>
      </c>
    </row>
    <row r="5" spans="1:13" ht="89.25" customHeight="1" x14ac:dyDescent="0.25">
      <c r="A5" s="3" t="s">
        <v>36</v>
      </c>
      <c r="B5" s="17">
        <v>13</v>
      </c>
      <c r="C5" s="15">
        <f>37000</f>
        <v>37000</v>
      </c>
      <c r="D5" s="17">
        <v>14</v>
      </c>
      <c r="E5" s="15">
        <f>32000</f>
        <v>32000</v>
      </c>
      <c r="F5" s="17">
        <v>15</v>
      </c>
      <c r="G5" s="15">
        <f>28000</f>
        <v>28000</v>
      </c>
      <c r="H5" s="17">
        <v>16</v>
      </c>
      <c r="I5" s="15">
        <v>27000</v>
      </c>
      <c r="J5" s="17">
        <v>17</v>
      </c>
      <c r="K5" s="15">
        <f>18000</f>
        <v>18000</v>
      </c>
      <c r="L5" s="17">
        <v>18</v>
      </c>
      <c r="M5" s="15">
        <f>19000</f>
        <v>19000</v>
      </c>
    </row>
    <row r="6" spans="1:13" ht="100.5" customHeight="1" x14ac:dyDescent="0.25">
      <c r="A6" s="3" t="s">
        <v>37</v>
      </c>
      <c r="B6" s="17">
        <v>19</v>
      </c>
      <c r="C6" s="15">
        <f>37000</f>
        <v>37000</v>
      </c>
      <c r="D6" s="17">
        <v>20</v>
      </c>
      <c r="E6" s="15">
        <f>32000</f>
        <v>32000</v>
      </c>
      <c r="F6" s="17">
        <v>21</v>
      </c>
      <c r="G6" s="15">
        <v>30000</v>
      </c>
      <c r="H6" s="17">
        <v>22</v>
      </c>
      <c r="I6" s="15">
        <v>27000</v>
      </c>
      <c r="J6" s="17">
        <v>23</v>
      </c>
      <c r="K6" s="15">
        <f>18000</f>
        <v>18000</v>
      </c>
      <c r="L6" s="17">
        <v>24</v>
      </c>
      <c r="M6" s="15">
        <f>19000</f>
        <v>19000</v>
      </c>
    </row>
    <row r="7" spans="1:13" ht="67.5" customHeight="1" x14ac:dyDescent="0.25">
      <c r="A7" s="3" t="s">
        <v>38</v>
      </c>
      <c r="B7" s="17">
        <v>25</v>
      </c>
      <c r="C7" s="15">
        <f>37000</f>
        <v>37000</v>
      </c>
      <c r="D7" s="17">
        <v>26</v>
      </c>
      <c r="E7" s="15">
        <f>32000</f>
        <v>32000</v>
      </c>
      <c r="F7" s="17">
        <v>27</v>
      </c>
      <c r="G7" s="15">
        <f>28000</f>
        <v>28000</v>
      </c>
      <c r="H7" s="17">
        <v>28</v>
      </c>
      <c r="I7" s="15">
        <v>27000</v>
      </c>
      <c r="J7" s="17">
        <v>29</v>
      </c>
      <c r="K7" s="15">
        <v>18000</v>
      </c>
      <c r="L7" s="17">
        <v>30</v>
      </c>
      <c r="M7" s="15">
        <f>19000</f>
        <v>19000</v>
      </c>
    </row>
    <row r="8" spans="1:13" ht="63.75" x14ac:dyDescent="0.25">
      <c r="A8" s="4" t="s">
        <v>39</v>
      </c>
      <c r="B8" s="17">
        <v>31</v>
      </c>
      <c r="C8" s="15">
        <v>39000</v>
      </c>
      <c r="D8" s="17">
        <v>32</v>
      </c>
      <c r="E8" s="15">
        <f>32000</f>
        <v>32000</v>
      </c>
      <c r="F8" s="17">
        <v>33</v>
      </c>
      <c r="G8" s="15">
        <f>25000</f>
        <v>25000</v>
      </c>
      <c r="H8" s="17">
        <v>34</v>
      </c>
      <c r="I8" s="15">
        <f>25000</f>
        <v>25000</v>
      </c>
      <c r="J8" s="17">
        <v>35</v>
      </c>
      <c r="K8" s="15">
        <f>18000</f>
        <v>18000</v>
      </c>
      <c r="L8" s="17">
        <v>36</v>
      </c>
      <c r="M8" s="15">
        <f>22000</f>
        <v>22000</v>
      </c>
    </row>
    <row r="9" spans="1:13" x14ac:dyDescent="0.25">
      <c r="A9"/>
      <c r="B9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/>
      <c r="B10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</sheetData>
  <mergeCells count="2">
    <mergeCell ref="C1:M1"/>
    <mergeCell ref="A1:A2"/>
  </mergeCells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F1E4-13AC-4299-AE93-8590E47362EC}">
  <dimension ref="A1:G39"/>
  <sheetViews>
    <sheetView topLeftCell="A13" zoomScale="85" zoomScaleNormal="85" workbookViewId="0">
      <selection activeCell="C26" sqref="C26:C27"/>
    </sheetView>
  </sheetViews>
  <sheetFormatPr defaultRowHeight="15.75" x14ac:dyDescent="0.25"/>
  <cols>
    <col min="1" max="1" width="21.7109375" style="6" customWidth="1"/>
    <col min="2" max="2" width="9.5703125" style="6" customWidth="1"/>
    <col min="3" max="3" width="17.140625" style="5" customWidth="1"/>
    <col min="4" max="4" width="6.5703125" style="5" customWidth="1"/>
    <col min="5" max="5" width="34.5703125" style="6" customWidth="1"/>
    <col min="6" max="6" width="13.42578125" style="6" customWidth="1"/>
    <col min="7" max="7" width="14.5703125" style="10" customWidth="1"/>
    <col min="8" max="8" width="32.7109375" style="6" customWidth="1"/>
    <col min="9" max="16384" width="9.140625" style="6"/>
  </cols>
  <sheetData>
    <row r="1" spans="1:7" ht="60" customHeight="1" x14ac:dyDescent="0.25">
      <c r="A1" s="9" t="s">
        <v>8</v>
      </c>
      <c r="B1" s="32" t="s">
        <v>40</v>
      </c>
      <c r="C1" s="33"/>
      <c r="D1" s="11"/>
      <c r="E1" s="9" t="s">
        <v>44</v>
      </c>
      <c r="G1" s="6"/>
    </row>
    <row r="2" spans="1:7" ht="60" customHeight="1" x14ac:dyDescent="0.25">
      <c r="A2" s="23" t="s">
        <v>9</v>
      </c>
      <c r="B2" s="28" t="s">
        <v>43</v>
      </c>
      <c r="C2" s="26">
        <v>6500</v>
      </c>
      <c r="D2" s="34">
        <v>37</v>
      </c>
      <c r="E2" s="8" t="s">
        <v>10</v>
      </c>
      <c r="G2" s="6"/>
    </row>
    <row r="3" spans="1:7" ht="24.75" customHeight="1" x14ac:dyDescent="0.25">
      <c r="A3" s="23"/>
      <c r="B3" s="30"/>
      <c r="C3" s="31"/>
      <c r="D3" s="35"/>
      <c r="E3" s="25" t="s">
        <v>11</v>
      </c>
      <c r="G3" s="6"/>
    </row>
    <row r="4" spans="1:7" ht="21.75" customHeight="1" x14ac:dyDescent="0.25">
      <c r="A4" s="23"/>
      <c r="B4" s="29"/>
      <c r="C4" s="27"/>
      <c r="D4" s="36"/>
      <c r="E4" s="25"/>
      <c r="G4" s="6"/>
    </row>
    <row r="5" spans="1:7" ht="36.75" customHeight="1" x14ac:dyDescent="0.25">
      <c r="A5" s="23"/>
      <c r="B5" s="28" t="s">
        <v>43</v>
      </c>
      <c r="C5" s="26">
        <v>11000</v>
      </c>
      <c r="D5" s="34">
        <v>38</v>
      </c>
      <c r="E5" s="25" t="s">
        <v>12</v>
      </c>
      <c r="G5" s="6"/>
    </row>
    <row r="6" spans="1:7" ht="21" customHeight="1" x14ac:dyDescent="0.25">
      <c r="A6" s="23"/>
      <c r="B6" s="29"/>
      <c r="C6" s="27"/>
      <c r="D6" s="36"/>
      <c r="E6" s="25"/>
      <c r="G6" s="6"/>
    </row>
    <row r="7" spans="1:7" ht="33" customHeight="1" x14ac:dyDescent="0.25">
      <c r="A7" s="23"/>
      <c r="B7" s="28" t="s">
        <v>43</v>
      </c>
      <c r="C7" s="26">
        <v>5000</v>
      </c>
      <c r="D7" s="34">
        <v>39</v>
      </c>
      <c r="E7" s="23" t="s">
        <v>13</v>
      </c>
      <c r="G7" s="6"/>
    </row>
    <row r="8" spans="1:7" ht="21.75" customHeight="1" x14ac:dyDescent="0.25">
      <c r="A8" s="23"/>
      <c r="B8" s="29"/>
      <c r="C8" s="27"/>
      <c r="D8" s="36"/>
      <c r="E8" s="23"/>
      <c r="G8" s="6"/>
    </row>
    <row r="9" spans="1:7" ht="45.75" customHeight="1" x14ac:dyDescent="0.25">
      <c r="A9" s="23" t="s">
        <v>14</v>
      </c>
      <c r="B9" s="28" t="s">
        <v>43</v>
      </c>
      <c r="C9" s="26">
        <v>3000</v>
      </c>
      <c r="D9" s="34">
        <v>40</v>
      </c>
      <c r="E9" s="8" t="s">
        <v>15</v>
      </c>
      <c r="G9" s="6"/>
    </row>
    <row r="10" spans="1:7" ht="20.25" customHeight="1" x14ac:dyDescent="0.25">
      <c r="A10" s="23"/>
      <c r="B10" s="30"/>
      <c r="C10" s="31"/>
      <c r="D10" s="35"/>
      <c r="E10" s="25" t="s">
        <v>16</v>
      </c>
      <c r="G10" s="6"/>
    </row>
    <row r="11" spans="1:7" ht="15.75" customHeight="1" x14ac:dyDescent="0.25">
      <c r="A11" s="23"/>
      <c r="B11" s="29"/>
      <c r="C11" s="27"/>
      <c r="D11" s="36"/>
      <c r="E11" s="25"/>
      <c r="G11" s="6"/>
    </row>
    <row r="12" spans="1:7" ht="29.25" customHeight="1" x14ac:dyDescent="0.25">
      <c r="A12" s="23"/>
      <c r="B12" s="28" t="s">
        <v>43</v>
      </c>
      <c r="C12" s="26">
        <v>10700</v>
      </c>
      <c r="D12" s="34">
        <v>41</v>
      </c>
      <c r="E12" s="25" t="s">
        <v>17</v>
      </c>
      <c r="G12" s="6"/>
    </row>
    <row r="13" spans="1:7" ht="18" customHeight="1" x14ac:dyDescent="0.25">
      <c r="A13" s="23"/>
      <c r="B13" s="29"/>
      <c r="C13" s="27"/>
      <c r="D13" s="36"/>
      <c r="E13" s="25"/>
      <c r="G13" s="6"/>
    </row>
    <row r="14" spans="1:7" ht="29.25" customHeight="1" x14ac:dyDescent="0.25">
      <c r="A14" s="23"/>
      <c r="B14" s="28" t="s">
        <v>43</v>
      </c>
      <c r="C14" s="26">
        <v>4000</v>
      </c>
      <c r="D14" s="34">
        <v>42</v>
      </c>
      <c r="E14" s="25" t="s">
        <v>18</v>
      </c>
      <c r="G14" s="6"/>
    </row>
    <row r="15" spans="1:7" ht="20.25" customHeight="1" x14ac:dyDescent="0.25">
      <c r="A15" s="23"/>
      <c r="B15" s="29"/>
      <c r="C15" s="27"/>
      <c r="D15" s="36"/>
      <c r="E15" s="25"/>
      <c r="G15" s="6"/>
    </row>
    <row r="16" spans="1:7" ht="39" customHeight="1" x14ac:dyDescent="0.25">
      <c r="A16" s="23" t="s">
        <v>19</v>
      </c>
      <c r="B16" s="28" t="s">
        <v>43</v>
      </c>
      <c r="C16" s="26">
        <v>1500</v>
      </c>
      <c r="D16" s="34">
        <v>43</v>
      </c>
      <c r="E16" s="8" t="s">
        <v>20</v>
      </c>
      <c r="G16" s="6"/>
    </row>
    <row r="17" spans="1:7" ht="26.25" customHeight="1" x14ac:dyDescent="0.25">
      <c r="A17" s="23"/>
      <c r="B17" s="30"/>
      <c r="C17" s="31"/>
      <c r="D17" s="35"/>
      <c r="E17" s="25" t="s">
        <v>21</v>
      </c>
      <c r="G17" s="6"/>
    </row>
    <row r="18" spans="1:7" ht="20.25" customHeight="1" x14ac:dyDescent="0.25">
      <c r="A18" s="23"/>
      <c r="B18" s="29"/>
      <c r="C18" s="27"/>
      <c r="D18" s="36"/>
      <c r="E18" s="25"/>
      <c r="G18" s="6"/>
    </row>
    <row r="19" spans="1:7" ht="24.75" customHeight="1" x14ac:dyDescent="0.25">
      <c r="A19" s="23"/>
      <c r="B19" s="28" t="s">
        <v>43</v>
      </c>
      <c r="C19" s="26">
        <v>3000</v>
      </c>
      <c r="D19" s="34">
        <v>44</v>
      </c>
      <c r="E19" s="21" t="s">
        <v>41</v>
      </c>
      <c r="G19" s="6"/>
    </row>
    <row r="20" spans="1:7" ht="20.25" customHeight="1" x14ac:dyDescent="0.25">
      <c r="A20" s="23"/>
      <c r="B20" s="30"/>
      <c r="C20" s="31"/>
      <c r="D20" s="35"/>
      <c r="E20" s="24"/>
      <c r="G20" s="6"/>
    </row>
    <row r="21" spans="1:7" ht="19.5" customHeight="1" x14ac:dyDescent="0.25">
      <c r="A21" s="23"/>
      <c r="B21" s="30"/>
      <c r="C21" s="31"/>
      <c r="D21" s="35"/>
      <c r="E21" s="24"/>
      <c r="G21" s="6"/>
    </row>
    <row r="22" spans="1:7" ht="20.25" customHeight="1" x14ac:dyDescent="0.25">
      <c r="A22" s="23"/>
      <c r="B22" s="29"/>
      <c r="C22" s="27"/>
      <c r="D22" s="36"/>
      <c r="E22" s="22"/>
      <c r="G22" s="6"/>
    </row>
    <row r="23" spans="1:7" ht="33.75" customHeight="1" x14ac:dyDescent="0.25">
      <c r="A23" s="23" t="s">
        <v>22</v>
      </c>
      <c r="B23" s="28" t="s">
        <v>43</v>
      </c>
      <c r="C23" s="26">
        <v>1500</v>
      </c>
      <c r="D23" s="34">
        <v>45</v>
      </c>
      <c r="E23" s="8" t="s">
        <v>23</v>
      </c>
      <c r="G23" s="6"/>
    </row>
    <row r="24" spans="1:7" ht="25.5" customHeight="1" x14ac:dyDescent="0.25">
      <c r="A24" s="23"/>
      <c r="B24" s="30"/>
      <c r="C24" s="31"/>
      <c r="D24" s="35"/>
      <c r="E24" s="25" t="s">
        <v>24</v>
      </c>
      <c r="G24" s="6"/>
    </row>
    <row r="25" spans="1:7" ht="19.5" customHeight="1" x14ac:dyDescent="0.25">
      <c r="A25" s="23"/>
      <c r="B25" s="29"/>
      <c r="C25" s="27"/>
      <c r="D25" s="36"/>
      <c r="E25" s="25"/>
      <c r="G25" s="6"/>
    </row>
    <row r="26" spans="1:7" ht="27" customHeight="1" x14ac:dyDescent="0.25">
      <c r="A26" s="23"/>
      <c r="B26" s="28" t="s">
        <v>43</v>
      </c>
      <c r="C26" s="26">
        <v>2500</v>
      </c>
      <c r="D26" s="34">
        <v>46</v>
      </c>
      <c r="E26" s="25" t="s">
        <v>25</v>
      </c>
      <c r="G26" s="6"/>
    </row>
    <row r="27" spans="1:7" ht="19.5" customHeight="1" x14ac:dyDescent="0.25">
      <c r="A27" s="23"/>
      <c r="B27" s="29"/>
      <c r="C27" s="27"/>
      <c r="D27" s="36"/>
      <c r="E27" s="25"/>
      <c r="G27" s="6"/>
    </row>
    <row r="28" spans="1:7" ht="24" customHeight="1" x14ac:dyDescent="0.25">
      <c r="A28" s="23"/>
      <c r="B28" s="28" t="s">
        <v>43</v>
      </c>
      <c r="C28" s="26">
        <v>3000</v>
      </c>
      <c r="D28" s="34">
        <v>47</v>
      </c>
      <c r="E28" s="23" t="s">
        <v>26</v>
      </c>
      <c r="G28" s="6"/>
    </row>
    <row r="29" spans="1:7" ht="20.25" customHeight="1" x14ac:dyDescent="0.25">
      <c r="A29" s="23"/>
      <c r="B29" s="29"/>
      <c r="C29" s="27"/>
      <c r="D29" s="36"/>
      <c r="E29" s="23"/>
      <c r="G29" s="6"/>
    </row>
    <row r="30" spans="1:7" ht="36.75" customHeight="1" x14ac:dyDescent="0.25">
      <c r="A30" s="23" t="s">
        <v>27</v>
      </c>
      <c r="B30" s="28" t="s">
        <v>43</v>
      </c>
      <c r="C30" s="26">
        <v>1000</v>
      </c>
      <c r="D30" s="34">
        <v>48</v>
      </c>
      <c r="E30" s="8" t="s">
        <v>28</v>
      </c>
      <c r="G30" s="6"/>
    </row>
    <row r="31" spans="1:7" ht="15" customHeight="1" x14ac:dyDescent="0.25">
      <c r="A31" s="23"/>
      <c r="B31" s="30"/>
      <c r="C31" s="31"/>
      <c r="D31" s="35"/>
      <c r="E31" s="25" t="s">
        <v>29</v>
      </c>
      <c r="G31" s="6"/>
    </row>
    <row r="32" spans="1:7" ht="20.25" customHeight="1" x14ac:dyDescent="0.25">
      <c r="A32" s="23"/>
      <c r="B32" s="29"/>
      <c r="C32" s="27"/>
      <c r="D32" s="36"/>
      <c r="E32" s="25"/>
      <c r="G32" s="6"/>
    </row>
    <row r="33" spans="1:7" ht="22.5" customHeight="1" x14ac:dyDescent="0.25">
      <c r="A33" s="23"/>
      <c r="B33" s="28" t="s">
        <v>43</v>
      </c>
      <c r="C33" s="26" t="s">
        <v>33</v>
      </c>
      <c r="D33" s="34">
        <v>49</v>
      </c>
      <c r="E33" s="25" t="s">
        <v>30</v>
      </c>
      <c r="G33" s="6"/>
    </row>
    <row r="34" spans="1:7" ht="18" customHeight="1" x14ac:dyDescent="0.25">
      <c r="A34" s="23"/>
      <c r="B34" s="29"/>
      <c r="C34" s="27"/>
      <c r="D34" s="36"/>
      <c r="E34" s="25"/>
      <c r="G34" s="6"/>
    </row>
    <row r="35" spans="1:7" ht="48" customHeight="1" x14ac:dyDescent="0.25">
      <c r="A35" s="23" t="s">
        <v>31</v>
      </c>
      <c r="B35" s="28" t="s">
        <v>43</v>
      </c>
      <c r="C35" s="26">
        <v>2000</v>
      </c>
      <c r="D35" s="34">
        <v>50</v>
      </c>
      <c r="E35" s="21" t="s">
        <v>42</v>
      </c>
      <c r="G35" s="6"/>
    </row>
    <row r="36" spans="1:7" ht="20.25" customHeight="1" x14ac:dyDescent="0.25">
      <c r="A36" s="23"/>
      <c r="B36" s="29"/>
      <c r="C36" s="27"/>
      <c r="D36" s="36"/>
      <c r="E36" s="22"/>
      <c r="G36" s="6"/>
    </row>
    <row r="37" spans="1:7" ht="30.75" customHeight="1" x14ac:dyDescent="0.25">
      <c r="A37" s="23"/>
      <c r="B37" s="28" t="s">
        <v>43</v>
      </c>
      <c r="C37" s="26">
        <v>1500</v>
      </c>
      <c r="D37" s="34">
        <v>51</v>
      </c>
      <c r="E37" s="21" t="s">
        <v>32</v>
      </c>
      <c r="G37" s="6"/>
    </row>
    <row r="38" spans="1:7" ht="23.25" customHeight="1" x14ac:dyDescent="0.25">
      <c r="A38" s="23"/>
      <c r="B38" s="29"/>
      <c r="C38" s="27"/>
      <c r="D38" s="36"/>
      <c r="E38" s="22"/>
      <c r="G38" s="6"/>
    </row>
    <row r="39" spans="1:7" x14ac:dyDescent="0.25">
      <c r="C39" s="7"/>
      <c r="D39" s="7"/>
      <c r="G39" s="6"/>
    </row>
  </sheetData>
  <mergeCells count="67">
    <mergeCell ref="D37:D38"/>
    <mergeCell ref="B37:B38"/>
    <mergeCell ref="C37:C38"/>
    <mergeCell ref="D2:D4"/>
    <mergeCell ref="D5:D6"/>
    <mergeCell ref="D7:D8"/>
    <mergeCell ref="D9:D11"/>
    <mergeCell ref="D12:D13"/>
    <mergeCell ref="D14:D15"/>
    <mergeCell ref="D16:D18"/>
    <mergeCell ref="D19:D22"/>
    <mergeCell ref="D23:D25"/>
    <mergeCell ref="D26:D27"/>
    <mergeCell ref="D28:D29"/>
    <mergeCell ref="D30:D32"/>
    <mergeCell ref="D33:D34"/>
    <mergeCell ref="D35:D36"/>
    <mergeCell ref="E17:E18"/>
    <mergeCell ref="A23:A29"/>
    <mergeCell ref="E24:E25"/>
    <mergeCell ref="E26:E27"/>
    <mergeCell ref="E28:E29"/>
    <mergeCell ref="B16:B18"/>
    <mergeCell ref="C16:C18"/>
    <mergeCell ref="B19:B22"/>
    <mergeCell ref="C19:C22"/>
    <mergeCell ref="B23:B25"/>
    <mergeCell ref="C23:C25"/>
    <mergeCell ref="B26:B27"/>
    <mergeCell ref="E3:E4"/>
    <mergeCell ref="E5:E6"/>
    <mergeCell ref="E7:E8"/>
    <mergeCell ref="A9:A15"/>
    <mergeCell ref="E10:E11"/>
    <mergeCell ref="E12:E13"/>
    <mergeCell ref="E14:E15"/>
    <mergeCell ref="B2:B4"/>
    <mergeCell ref="C2:C4"/>
    <mergeCell ref="B5:B6"/>
    <mergeCell ref="C5:C6"/>
    <mergeCell ref="B7:B8"/>
    <mergeCell ref="C7:C8"/>
    <mergeCell ref="B1:C1"/>
    <mergeCell ref="A2:A8"/>
    <mergeCell ref="A16:A22"/>
    <mergeCell ref="B9:B11"/>
    <mergeCell ref="C9:C11"/>
    <mergeCell ref="B12:B13"/>
    <mergeCell ref="C12:C13"/>
    <mergeCell ref="B14:B15"/>
    <mergeCell ref="C14:C15"/>
    <mergeCell ref="E37:E38"/>
    <mergeCell ref="A35:A38"/>
    <mergeCell ref="E19:E22"/>
    <mergeCell ref="A30:A34"/>
    <mergeCell ref="E31:E32"/>
    <mergeCell ref="E33:E34"/>
    <mergeCell ref="E35:E36"/>
    <mergeCell ref="C26:C27"/>
    <mergeCell ref="B28:B29"/>
    <mergeCell ref="C28:C29"/>
    <mergeCell ref="B30:B32"/>
    <mergeCell ref="C30:C32"/>
    <mergeCell ref="B33:B34"/>
    <mergeCell ref="C33:C34"/>
    <mergeCell ref="B35:B36"/>
    <mergeCell ref="C35:C36"/>
  </mergeCells>
  <hyperlinks>
    <hyperlink ref="E33" r:id="rId1" xr:uid="{3C340E30-415D-47C1-808D-ED7271E444B3}"/>
    <hyperlink ref="E14" r:id="rId2" xr:uid="{4D525EC8-97DA-43B9-A1DC-9FBE21B00D46}"/>
    <hyperlink ref="E37" r:id="rId3" xr:uid="{BFCD166E-54F9-4511-8E85-1F3C8F7DC9E1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Соц. сети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ПАЛКИН Лев Геннадьевич</dc:creator>
  <cp:lastModifiedBy>МАРИНОВА Радостина Антонова</cp:lastModifiedBy>
  <cp:lastPrinted>2025-08-07T09:13:23Z</cp:lastPrinted>
  <dcterms:created xsi:type="dcterms:W3CDTF">2025-06-09T14:44:47Z</dcterms:created>
  <dcterms:modified xsi:type="dcterms:W3CDTF">2025-08-07T11:06:00Z</dcterms:modified>
</cp:coreProperties>
</file>