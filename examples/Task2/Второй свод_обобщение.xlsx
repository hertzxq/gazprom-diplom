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Итого _платежи_договоры" sheetId="1" r:id="rId1"/>
    <sheet name="Итого_платежи_договоры_публ" sheetId="2" r:id="rId2"/>
    <sheet name="Итого_платежи_договоры_не публ" sheetId="3" r:id="rId3"/>
  </sheets>
  <calcPr calcId="145621"/>
</workbook>
</file>

<file path=xl/calcChain.xml><?xml version="1.0" encoding="utf-8"?>
<calcChain xmlns="http://schemas.openxmlformats.org/spreadsheetml/2006/main">
  <c r="B27" i="3" l="1"/>
  <c r="B18" i="3"/>
  <c r="B22" i="3" s="1"/>
  <c r="B12" i="3"/>
  <c r="B27" i="2"/>
  <c r="B22" i="2"/>
  <c r="B18" i="2"/>
  <c r="B12" i="2"/>
  <c r="B27" i="1" l="1"/>
  <c r="B18" i="1"/>
  <c r="B22" i="1" s="1"/>
  <c r="B12" i="1"/>
</calcChain>
</file>

<file path=xl/sharedStrings.xml><?xml version="1.0" encoding="utf-8"?>
<sst xmlns="http://schemas.openxmlformats.org/spreadsheetml/2006/main" count="170" uniqueCount="55">
  <si>
    <t>Итого всего</t>
  </si>
  <si>
    <t>179</t>
  </si>
  <si>
    <t>Исключения (авиа)</t>
  </si>
  <si>
    <t>0</t>
  </si>
  <si>
    <t>Исключение (страх)</t>
  </si>
  <si>
    <t>Исключение (образов)</t>
  </si>
  <si>
    <t>13</t>
  </si>
  <si>
    <t>Исключение (аренда)</t>
  </si>
  <si>
    <t>Исключение (почта)</t>
  </si>
  <si>
    <t>2</t>
  </si>
  <si>
    <t>Арнеда СМСП</t>
  </si>
  <si>
    <t>СМСП образование</t>
  </si>
  <si>
    <t>3</t>
  </si>
  <si>
    <t>Итого за минусом исключений</t>
  </si>
  <si>
    <t>Только для СМСП</t>
  </si>
  <si>
    <t>54</t>
  </si>
  <si>
    <t>Только для СМСП среднее</t>
  </si>
  <si>
    <t>Только для СМСП малое и микро</t>
  </si>
  <si>
    <t>52</t>
  </si>
  <si>
    <t>С СМСП для всех</t>
  </si>
  <si>
    <t>123</t>
  </si>
  <si>
    <t>с СМСП среднее</t>
  </si>
  <si>
    <t>1</t>
  </si>
  <si>
    <t>с СМСП малое и микро</t>
  </si>
  <si>
    <t>Итого с СМСП</t>
  </si>
  <si>
    <t>с СМСП для всех (минус исключения)</t>
  </si>
  <si>
    <t>с СМСП малое и микеро (минус исключения)</t>
  </si>
  <si>
    <t>Итого с СМСП (за минусом исключений)</t>
  </si>
  <si>
    <t>Наименование кпоказателя</t>
  </si>
  <si>
    <t>Комментарий к табличке</t>
  </si>
  <si>
    <t>указывается сумма оплат (по столбцу F) и количество договоров (по столбцу L) по признаку, указанному в стобце "J" таблицы "первичный свод". То есть здесь нам интересно на какую сумму было совершено оплат по договорам с признаком согласно столбцу J. Например здесь указана сумма оплат по договорам с признаком авиа</t>
  </si>
  <si>
    <t>то же</t>
  </si>
  <si>
    <t>Здесь то же самое, только с другим значением признака по столбцу J.</t>
  </si>
  <si>
    <t xml:space="preserve">та же логика, что строкой выше, только признак по столбцу G "малое", "микро", "самозанятый". </t>
  </si>
  <si>
    <t xml:space="preserve">Здесь указываются данные по столбца f и L с признаком "да" столбца H и признаком "среднее" по столбцу G первичного свода. </t>
  </si>
  <si>
    <t>Здесь указываются данные по f и L с признаком "нет" столбца H и признаком не равным "нет" столбца G первичного свода</t>
  </si>
  <si>
    <t>здесь то же, что строкой выше, только по столбцу G учитывается показатель "среднее"</t>
  </si>
  <si>
    <t xml:space="preserve">то же, что строкой выше, только по столбцу G учитывается показатель "микро", "малое", "самозанятый". </t>
  </si>
  <si>
    <t>Сумма показателей по столбцам B и C этой таблицы соответственно по строкам 14 и 18 этой таблицы ("только для СМСП" плюс "с СМСП для всех")</t>
  </si>
  <si>
    <t>То же, только по столбцу "G" учитываеются данные с признаком "среднее"</t>
  </si>
  <si>
    <t>то же, что строкой выше, только по столбцу "G" учитываются данные с признаком "микро", "малое", "самозанятый"</t>
  </si>
  <si>
    <t>данные по сумме (F) и количеству договоров (L) с признаками не равными "нет" по столбцу "G" , с признаком "нет" по столбцу "H" и признаком "нет" по столбцу J первичной таблицы</t>
  </si>
  <si>
    <t>Сумма данных по столбцам В и С этой таблицы по строкам 14 и 24 этой таблицы</t>
  </si>
  <si>
    <t>Количество договоров (по столбцу счетчик из первичного свода)</t>
  </si>
  <si>
    <r>
      <t>Сумма (</t>
    </r>
    <r>
      <rPr>
        <b/>
        <i/>
        <sz val="10"/>
        <rFont val="Arial"/>
        <family val="2"/>
        <charset val="204"/>
      </rPr>
      <t>здесь цифры для примера, математически не бьются</t>
    </r>
    <r>
      <rPr>
        <b/>
        <sz val="10"/>
        <rFont val="Arial"/>
        <family val="2"/>
        <charset val="204"/>
      </rPr>
      <t>)</t>
    </r>
  </si>
  <si>
    <t xml:space="preserve">указывается общая сумма оплат (по столбцу F) и соответственно количетсво договоров (по столбцу L). Данные берутся из таблицы "Первичный свод". </t>
  </si>
  <si>
    <t xml:space="preserve">Здесь учитывается сумма оплат по договорам с одновременными признаками "аренда" из столбца J первичного свода и отнесения контрагентов к смсп из столбца G. По столбцу G учитывается все, что не равно значению "нет". </t>
  </si>
  <si>
    <t xml:space="preserve">Здесь указывается сумма платежей (и соответственно количество договоров) за минусом сумм платежей тех договоров, которые относятся к ислкючениям. То есть значения по строке 2 этой таблицы минус значения по строкам, которые относятся к исключениям (в данном случае строки 4-8). </t>
  </si>
  <si>
    <t>Здесь указываются данные по f и L c признаком "да" по столбцу H прервичного свода</t>
  </si>
  <si>
    <t xml:space="preserve">То же самое, что строчкой выше. Но здесь будет учитыватьсяинформация уже с другим наименованием признака стобца J таблицы "первичный свод". </t>
  </si>
  <si>
    <t>с СМСП для всех среднее (минус исключения)</t>
  </si>
  <si>
    <t>Соответственно здесь будет ноль всегда</t>
  </si>
  <si>
    <t xml:space="preserve">В этой таблице все то же, но учитываются только договоры у которых в первичном своде в столбце O (публикация на ЕИС) стоит да. </t>
  </si>
  <si>
    <t xml:space="preserve">В этой таблице все то же, как в первой вкладке, но учитываются только договоры у которых в первичном своде в столбце O (публикация на ЕИС) стоит "нет".   </t>
  </si>
  <si>
    <t xml:space="preserve">В чем смысл второй и третьей вкладки. По общему правилу на ЕИС не публикуются закупки с ценой менее 100 т.р. Но если закупка имеет признак "Только для СМСП", то публикуется. И если закупка игралась определенным способом, то публикуется, даже если цена договора меньше 100 т.р. И мне нужны эти данные в отдельности, потому что в части публикуемых закупок мне система ЕИС выдает отчет автоматом, но врет. А в части непубликуемых я это добавляю вручную. И мне нужно иметь как общий свод, так и их в отдельности, чтобы проверять и корректировать.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</si>
</sst>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i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49" fontId="2" fillId="0" borderId="0" xfId="0" applyNumberFormat="1" applyFont="1"/>
    <xf numFmtId="4" fontId="0" fillId="0" borderId="0" xfId="0" applyNumberFormat="1"/>
    <xf numFmtId="49" fontId="0" fillId="0" borderId="0" xfId="0" applyNumberFormat="1"/>
    <xf numFmtId="0" fontId="2" fillId="0" borderId="0" xfId="0" applyFont="1" applyAlignment="1">
      <alignment wrapText="1"/>
    </xf>
    <xf numFmtId="4" fontId="2" fillId="0" borderId="0" xfId="0" applyNumberFormat="1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49" fontId="3" fillId="0" borderId="0" xfId="0" applyNumberFormat="1" applyFont="1" applyAlignment="1">
      <alignment wrapText="1"/>
    </xf>
    <xf numFmtId="0" fontId="1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4" fontId="0" fillId="0" borderId="1" xfId="0" applyNumberFormat="1" applyBorder="1"/>
    <xf numFmtId="49" fontId="2" fillId="0" borderId="1" xfId="0" applyNumberFormat="1" applyFont="1" applyBorder="1"/>
    <xf numFmtId="0" fontId="0" fillId="0" borderId="1" xfId="0" applyBorder="1" applyAlignment="1">
      <alignment wrapText="1"/>
    </xf>
    <xf numFmtId="49" fontId="0" fillId="0" borderId="1" xfId="0" applyNumberFormat="1" applyBorder="1"/>
    <xf numFmtId="0" fontId="2" fillId="0" borderId="1" xfId="0" applyFont="1" applyBorder="1" applyAlignment="1">
      <alignment wrapText="1"/>
    </xf>
    <xf numFmtId="4" fontId="2" fillId="0" borderId="1" xfId="0" applyNumberFormat="1" applyFont="1" applyBorder="1"/>
    <xf numFmtId="0" fontId="0" fillId="2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H4" sqref="H4"/>
    </sheetView>
  </sheetViews>
  <sheetFormatPr defaultRowHeight="15" x14ac:dyDescent="0.25"/>
  <cols>
    <col min="1" max="1" width="42.7109375" customWidth="1"/>
    <col min="2" max="2" width="26.7109375" customWidth="1"/>
    <col min="3" max="3" width="32" customWidth="1"/>
    <col min="4" max="4" width="49.42578125" customWidth="1"/>
    <col min="6" max="6" width="47.28515625" customWidth="1"/>
  </cols>
  <sheetData>
    <row r="1" spans="1:6" ht="39" x14ac:dyDescent="0.25">
      <c r="A1" s="9" t="s">
        <v>28</v>
      </c>
      <c r="B1" s="7" t="s">
        <v>44</v>
      </c>
      <c r="C1" s="10" t="s">
        <v>43</v>
      </c>
      <c r="D1" s="11" t="s">
        <v>29</v>
      </c>
    </row>
    <row r="2" spans="1:6" ht="65.25" customHeight="1" x14ac:dyDescent="0.25">
      <c r="A2" s="1" t="s">
        <v>0</v>
      </c>
      <c r="B2" s="3">
        <v>584067.06000000006</v>
      </c>
      <c r="C2" s="2" t="s">
        <v>1</v>
      </c>
      <c r="D2" s="8" t="s">
        <v>45</v>
      </c>
      <c r="F2" s="9"/>
    </row>
    <row r="3" spans="1:6" x14ac:dyDescent="0.25">
      <c r="C3" s="4"/>
    </row>
    <row r="4" spans="1:6" ht="105" x14ac:dyDescent="0.25">
      <c r="A4" s="5" t="s">
        <v>2</v>
      </c>
      <c r="B4" s="3">
        <v>100000</v>
      </c>
      <c r="C4" s="2" t="s">
        <v>3</v>
      </c>
      <c r="D4" s="8" t="s">
        <v>30</v>
      </c>
      <c r="F4" s="5"/>
    </row>
    <row r="5" spans="1:6" ht="60" x14ac:dyDescent="0.25">
      <c r="A5" s="5" t="s">
        <v>4</v>
      </c>
      <c r="B5" s="3">
        <v>120000</v>
      </c>
      <c r="C5" s="4">
        <v>4</v>
      </c>
      <c r="D5" s="8" t="s">
        <v>49</v>
      </c>
      <c r="F5" s="5"/>
    </row>
    <row r="6" spans="1:6" x14ac:dyDescent="0.25">
      <c r="A6" s="5" t="s">
        <v>5</v>
      </c>
      <c r="B6" s="3">
        <v>30000</v>
      </c>
      <c r="C6" s="2" t="s">
        <v>6</v>
      </c>
      <c r="D6" s="8" t="s">
        <v>31</v>
      </c>
      <c r="F6" s="5"/>
    </row>
    <row r="7" spans="1:6" x14ac:dyDescent="0.25">
      <c r="A7" s="5" t="s">
        <v>7</v>
      </c>
      <c r="B7" s="3">
        <v>21000</v>
      </c>
      <c r="C7" s="4">
        <v>11</v>
      </c>
      <c r="D7" s="8" t="s">
        <v>31</v>
      </c>
      <c r="F7" s="5"/>
    </row>
    <row r="8" spans="1:6" x14ac:dyDescent="0.25">
      <c r="A8" s="5" t="s">
        <v>8</v>
      </c>
      <c r="B8" s="3">
        <v>77000</v>
      </c>
      <c r="C8" s="2" t="s">
        <v>9</v>
      </c>
      <c r="D8" s="8" t="s">
        <v>31</v>
      </c>
      <c r="F8" s="5"/>
    </row>
    <row r="9" spans="1:6" ht="75" x14ac:dyDescent="0.25">
      <c r="A9" s="1" t="s">
        <v>10</v>
      </c>
      <c r="B9" s="3">
        <v>90000</v>
      </c>
      <c r="D9" s="8" t="s">
        <v>46</v>
      </c>
      <c r="F9" s="1"/>
    </row>
    <row r="10" spans="1:6" ht="30" x14ac:dyDescent="0.25">
      <c r="A10" s="5" t="s">
        <v>11</v>
      </c>
      <c r="B10" s="3">
        <v>76189</v>
      </c>
      <c r="C10" s="2" t="s">
        <v>12</v>
      </c>
      <c r="D10" s="8" t="s">
        <v>32</v>
      </c>
      <c r="F10" s="5"/>
    </row>
    <row r="11" spans="1:6" x14ac:dyDescent="0.25">
      <c r="C11" s="4"/>
    </row>
    <row r="12" spans="1:6" ht="105" x14ac:dyDescent="0.25">
      <c r="A12" s="5" t="s">
        <v>13</v>
      </c>
      <c r="B12" s="3">
        <f>B2-B4-B5-B6-B7-B8</f>
        <v>236067.06000000006</v>
      </c>
      <c r="C12" s="4"/>
      <c r="D12" s="8" t="s">
        <v>47</v>
      </c>
      <c r="F12" s="7"/>
    </row>
    <row r="13" spans="1:6" x14ac:dyDescent="0.25">
      <c r="C13" s="4"/>
    </row>
    <row r="14" spans="1:6" ht="30" x14ac:dyDescent="0.25">
      <c r="A14" s="5" t="s">
        <v>14</v>
      </c>
      <c r="B14" s="3">
        <v>404611342.02000004</v>
      </c>
      <c r="C14" s="2" t="s">
        <v>15</v>
      </c>
      <c r="D14" s="8" t="s">
        <v>48</v>
      </c>
      <c r="F14" s="7"/>
    </row>
    <row r="15" spans="1:6" ht="45" x14ac:dyDescent="0.25">
      <c r="A15" s="5" t="s">
        <v>16</v>
      </c>
      <c r="B15" s="3">
        <v>13300469.890000001</v>
      </c>
      <c r="C15" s="2" t="s">
        <v>9</v>
      </c>
      <c r="D15" s="8" t="s">
        <v>34</v>
      </c>
      <c r="F15" s="5"/>
    </row>
    <row r="16" spans="1:6" ht="30" x14ac:dyDescent="0.25">
      <c r="A16" s="5" t="s">
        <v>17</v>
      </c>
      <c r="B16" s="3">
        <v>391310872.13</v>
      </c>
      <c r="C16" s="2" t="s">
        <v>18</v>
      </c>
      <c r="D16" s="8" t="s">
        <v>33</v>
      </c>
      <c r="F16" s="5"/>
    </row>
    <row r="17" spans="1:6" x14ac:dyDescent="0.25">
      <c r="C17" s="4"/>
    </row>
    <row r="18" spans="1:6" ht="45" x14ac:dyDescent="0.25">
      <c r="A18" s="7" t="s">
        <v>19</v>
      </c>
      <c r="B18" s="3">
        <f>B20+B19</f>
        <v>105116874.66</v>
      </c>
      <c r="C18" s="2" t="s">
        <v>20</v>
      </c>
      <c r="D18" s="8" t="s">
        <v>35</v>
      </c>
      <c r="F18" s="7"/>
    </row>
    <row r="19" spans="1:6" ht="30" x14ac:dyDescent="0.25">
      <c r="A19" s="5" t="s">
        <v>21</v>
      </c>
      <c r="B19" s="3">
        <v>159300</v>
      </c>
      <c r="C19" s="2" t="s">
        <v>22</v>
      </c>
      <c r="D19" s="8" t="s">
        <v>36</v>
      </c>
      <c r="F19" s="5"/>
    </row>
    <row r="20" spans="1:6" ht="45" x14ac:dyDescent="0.25">
      <c r="A20" s="5" t="s">
        <v>23</v>
      </c>
      <c r="B20" s="3">
        <v>104957574.66</v>
      </c>
      <c r="C20" s="2" t="s">
        <v>15</v>
      </c>
      <c r="D20" s="8" t="s">
        <v>37</v>
      </c>
      <c r="F20" s="5"/>
    </row>
    <row r="21" spans="1:6" x14ac:dyDescent="0.25">
      <c r="C21" s="4"/>
    </row>
    <row r="22" spans="1:6" ht="60" x14ac:dyDescent="0.25">
      <c r="A22" s="9" t="s">
        <v>24</v>
      </c>
      <c r="B22" s="3">
        <f>B18+B14</f>
        <v>509728216.68000007</v>
      </c>
      <c r="C22" s="6"/>
      <c r="D22" s="8" t="s">
        <v>38</v>
      </c>
      <c r="F22" s="9"/>
    </row>
    <row r="23" spans="1:6" x14ac:dyDescent="0.25">
      <c r="A23" s="1"/>
      <c r="B23" s="3"/>
      <c r="C23" s="6"/>
    </row>
    <row r="24" spans="1:6" ht="60" x14ac:dyDescent="0.25">
      <c r="A24" s="5" t="s">
        <v>25</v>
      </c>
      <c r="B24" s="3">
        <v>16353682.09</v>
      </c>
      <c r="C24" s="6">
        <v>44</v>
      </c>
      <c r="D24" s="8" t="s">
        <v>41</v>
      </c>
      <c r="F24" s="5"/>
    </row>
    <row r="25" spans="1:6" ht="30" x14ac:dyDescent="0.25">
      <c r="A25" s="5" t="s">
        <v>50</v>
      </c>
      <c r="B25" s="3">
        <v>159300</v>
      </c>
      <c r="C25" s="6">
        <v>1</v>
      </c>
      <c r="D25" s="8" t="s">
        <v>39</v>
      </c>
      <c r="F25" s="5"/>
    </row>
    <row r="26" spans="1:6" ht="45" x14ac:dyDescent="0.25">
      <c r="A26" s="5" t="s">
        <v>26</v>
      </c>
      <c r="B26" s="3">
        <v>16194382.09</v>
      </c>
      <c r="C26" s="6">
        <v>43</v>
      </c>
      <c r="D26" s="8" t="s">
        <v>40</v>
      </c>
      <c r="F26" s="5"/>
    </row>
    <row r="27" spans="1:6" ht="30" x14ac:dyDescent="0.25">
      <c r="A27" s="7" t="s">
        <v>27</v>
      </c>
      <c r="B27" s="3">
        <f>B24+B14</f>
        <v>420965024.11000001</v>
      </c>
      <c r="C27" s="4"/>
      <c r="D27" s="8" t="s">
        <v>42</v>
      </c>
      <c r="F27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activeCell="E2" sqref="E2"/>
    </sheetView>
  </sheetViews>
  <sheetFormatPr defaultRowHeight="48" customHeight="1" x14ac:dyDescent="0.25"/>
  <cols>
    <col min="1" max="1" width="29.85546875" customWidth="1"/>
    <col min="2" max="2" width="37.28515625" customWidth="1"/>
    <col min="3" max="3" width="37.140625" customWidth="1"/>
    <col min="4" max="4" width="71.5703125" customWidth="1"/>
    <col min="5" max="5" width="63.5703125" customWidth="1"/>
  </cols>
  <sheetData>
    <row r="1" spans="1:5" ht="128.25" customHeight="1" x14ac:dyDescent="0.25">
      <c r="A1" s="12" t="s">
        <v>28</v>
      </c>
      <c r="B1" s="13" t="s">
        <v>44</v>
      </c>
      <c r="C1" s="14" t="s">
        <v>43</v>
      </c>
      <c r="D1" s="15" t="s">
        <v>29</v>
      </c>
      <c r="E1" s="24" t="s">
        <v>52</v>
      </c>
    </row>
    <row r="2" spans="1:5" ht="61.5" customHeight="1" x14ac:dyDescent="0.25">
      <c r="A2" s="17" t="s">
        <v>0</v>
      </c>
      <c r="B2" s="18">
        <v>584067.06000000006</v>
      </c>
      <c r="C2" s="19" t="s">
        <v>1</v>
      </c>
      <c r="D2" s="20" t="s">
        <v>45</v>
      </c>
    </row>
    <row r="3" spans="1:5" ht="48" customHeight="1" x14ac:dyDescent="0.25">
      <c r="A3" s="16"/>
      <c r="B3" s="16"/>
      <c r="C3" s="21"/>
      <c r="D3" s="16"/>
    </row>
    <row r="4" spans="1:5" ht="92.25" customHeight="1" x14ac:dyDescent="0.25">
      <c r="A4" s="22" t="s">
        <v>2</v>
      </c>
      <c r="B4" s="18">
        <v>100000</v>
      </c>
      <c r="C4" s="19" t="s">
        <v>3</v>
      </c>
      <c r="D4" s="20" t="s">
        <v>30</v>
      </c>
    </row>
    <row r="5" spans="1:5" ht="51" customHeight="1" x14ac:dyDescent="0.25">
      <c r="A5" s="22" t="s">
        <v>4</v>
      </c>
      <c r="B5" s="18">
        <v>120000</v>
      </c>
      <c r="C5" s="21">
        <v>4</v>
      </c>
      <c r="D5" s="20" t="s">
        <v>49</v>
      </c>
    </row>
    <row r="6" spans="1:5" ht="48" customHeight="1" x14ac:dyDescent="0.25">
      <c r="A6" s="22" t="s">
        <v>5</v>
      </c>
      <c r="B6" s="18">
        <v>30000</v>
      </c>
      <c r="C6" s="19" t="s">
        <v>6</v>
      </c>
      <c r="D6" s="20" t="s">
        <v>31</v>
      </c>
    </row>
    <row r="7" spans="1:5" ht="48" customHeight="1" x14ac:dyDescent="0.25">
      <c r="A7" s="22" t="s">
        <v>7</v>
      </c>
      <c r="B7" s="18">
        <v>21000</v>
      </c>
      <c r="C7" s="21">
        <v>11</v>
      </c>
      <c r="D7" s="20" t="s">
        <v>31</v>
      </c>
      <c r="E7" t="s">
        <v>51</v>
      </c>
    </row>
    <row r="8" spans="1:5" ht="48" customHeight="1" x14ac:dyDescent="0.25">
      <c r="A8" s="22" t="s">
        <v>8</v>
      </c>
      <c r="B8" s="18">
        <v>77000</v>
      </c>
      <c r="C8" s="19" t="s">
        <v>9</v>
      </c>
      <c r="D8" s="20" t="s">
        <v>31</v>
      </c>
    </row>
    <row r="9" spans="1:5" ht="69" customHeight="1" x14ac:dyDescent="0.25">
      <c r="A9" s="17" t="s">
        <v>10</v>
      </c>
      <c r="B9" s="18">
        <v>90000</v>
      </c>
      <c r="C9" s="16"/>
      <c r="D9" s="20" t="s">
        <v>46</v>
      </c>
    </row>
    <row r="10" spans="1:5" ht="54.75" customHeight="1" x14ac:dyDescent="0.25">
      <c r="A10" s="22" t="s">
        <v>11</v>
      </c>
      <c r="B10" s="18">
        <v>76189</v>
      </c>
      <c r="C10" s="19" t="s">
        <v>12</v>
      </c>
      <c r="D10" s="20" t="s">
        <v>32</v>
      </c>
    </row>
    <row r="11" spans="1:5" ht="48" customHeight="1" x14ac:dyDescent="0.25">
      <c r="A11" s="16"/>
      <c r="B11" s="16"/>
      <c r="C11" s="21"/>
      <c r="D11" s="16"/>
    </row>
    <row r="12" spans="1:5" ht="82.5" customHeight="1" x14ac:dyDescent="0.25">
      <c r="A12" s="22" t="s">
        <v>13</v>
      </c>
      <c r="B12" s="18">
        <f>B2-B4-B5-B6-B7-B8</f>
        <v>236067.06000000006</v>
      </c>
      <c r="C12" s="21"/>
      <c r="D12" s="20" t="s">
        <v>47</v>
      </c>
    </row>
    <row r="13" spans="1:5" ht="48" customHeight="1" x14ac:dyDescent="0.25">
      <c r="A13" s="16"/>
      <c r="B13" s="16"/>
      <c r="C13" s="21"/>
      <c r="D13" s="16"/>
    </row>
    <row r="14" spans="1:5" ht="46.5" customHeight="1" x14ac:dyDescent="0.25">
      <c r="A14" s="22" t="s">
        <v>14</v>
      </c>
      <c r="B14" s="18">
        <v>404611342.02000004</v>
      </c>
      <c r="C14" s="19" t="s">
        <v>15</v>
      </c>
      <c r="D14" s="20" t="s">
        <v>48</v>
      </c>
    </row>
    <row r="15" spans="1:5" ht="49.5" customHeight="1" x14ac:dyDescent="0.25">
      <c r="A15" s="22" t="s">
        <v>16</v>
      </c>
      <c r="B15" s="18">
        <v>13300469.890000001</v>
      </c>
      <c r="C15" s="19" t="s">
        <v>9</v>
      </c>
      <c r="D15" s="20" t="s">
        <v>34</v>
      </c>
    </row>
    <row r="16" spans="1:5" ht="48" customHeight="1" x14ac:dyDescent="0.25">
      <c r="A16" s="22" t="s">
        <v>17</v>
      </c>
      <c r="B16" s="18">
        <v>391310872.13</v>
      </c>
      <c r="C16" s="19" t="s">
        <v>18</v>
      </c>
      <c r="D16" s="20" t="s">
        <v>33</v>
      </c>
    </row>
    <row r="17" spans="1:4" ht="48" customHeight="1" x14ac:dyDescent="0.25">
      <c r="A17" s="16"/>
      <c r="B17" s="16"/>
      <c r="C17" s="21"/>
      <c r="D17" s="16"/>
    </row>
    <row r="18" spans="1:4" ht="48" customHeight="1" x14ac:dyDescent="0.25">
      <c r="A18" s="22" t="s">
        <v>19</v>
      </c>
      <c r="B18" s="18">
        <f>B20+B19</f>
        <v>105116874.66</v>
      </c>
      <c r="C18" s="19" t="s">
        <v>20</v>
      </c>
      <c r="D18" s="20" t="s">
        <v>35</v>
      </c>
    </row>
    <row r="19" spans="1:4" ht="48" customHeight="1" x14ac:dyDescent="0.25">
      <c r="A19" s="22" t="s">
        <v>21</v>
      </c>
      <c r="B19" s="18">
        <v>159300</v>
      </c>
      <c r="C19" s="19" t="s">
        <v>22</v>
      </c>
      <c r="D19" s="20" t="s">
        <v>36</v>
      </c>
    </row>
    <row r="20" spans="1:4" ht="48" customHeight="1" x14ac:dyDescent="0.25">
      <c r="A20" s="22" t="s">
        <v>23</v>
      </c>
      <c r="B20" s="18">
        <v>104957574.66</v>
      </c>
      <c r="C20" s="19" t="s">
        <v>15</v>
      </c>
      <c r="D20" s="20" t="s">
        <v>37</v>
      </c>
    </row>
    <row r="21" spans="1:4" ht="48" customHeight="1" x14ac:dyDescent="0.25">
      <c r="A21" s="16"/>
      <c r="B21" s="16"/>
      <c r="C21" s="21"/>
      <c r="D21" s="16"/>
    </row>
    <row r="22" spans="1:4" ht="48" customHeight="1" x14ac:dyDescent="0.25">
      <c r="A22" s="17" t="s">
        <v>24</v>
      </c>
      <c r="B22" s="18">
        <f>B18+B14</f>
        <v>509728216.68000007</v>
      </c>
      <c r="C22" s="23"/>
      <c r="D22" s="20" t="s">
        <v>38</v>
      </c>
    </row>
    <row r="23" spans="1:4" ht="48" customHeight="1" x14ac:dyDescent="0.25">
      <c r="A23" s="17"/>
      <c r="B23" s="18"/>
      <c r="C23" s="23"/>
      <c r="D23" s="16"/>
    </row>
    <row r="24" spans="1:4" ht="48" customHeight="1" x14ac:dyDescent="0.25">
      <c r="A24" s="22" t="s">
        <v>25</v>
      </c>
      <c r="B24" s="18">
        <v>16353682.09</v>
      </c>
      <c r="C24" s="23">
        <v>44</v>
      </c>
      <c r="D24" s="20" t="s">
        <v>41</v>
      </c>
    </row>
    <row r="25" spans="1:4" ht="48" customHeight="1" x14ac:dyDescent="0.25">
      <c r="A25" s="22" t="s">
        <v>50</v>
      </c>
      <c r="B25" s="18">
        <v>159300</v>
      </c>
      <c r="C25" s="23">
        <v>1</v>
      </c>
      <c r="D25" s="20" t="s">
        <v>39</v>
      </c>
    </row>
    <row r="26" spans="1:4" ht="48" customHeight="1" x14ac:dyDescent="0.25">
      <c r="A26" s="22" t="s">
        <v>26</v>
      </c>
      <c r="B26" s="18">
        <v>16194382.09</v>
      </c>
      <c r="C26" s="23">
        <v>43</v>
      </c>
      <c r="D26" s="20" t="s">
        <v>40</v>
      </c>
    </row>
    <row r="27" spans="1:4" ht="48" customHeight="1" x14ac:dyDescent="0.25">
      <c r="A27" s="13" t="s">
        <v>27</v>
      </c>
      <c r="B27" s="18">
        <f>B24+B14</f>
        <v>420965024.11000001</v>
      </c>
      <c r="C27" s="21"/>
      <c r="D27" s="20" t="s">
        <v>42</v>
      </c>
    </row>
    <row r="28" spans="1:4" ht="48" customHeight="1" x14ac:dyDescent="0.25">
      <c r="A28" s="16"/>
      <c r="B28" s="16"/>
      <c r="C28" s="16"/>
      <c r="D28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F3" sqref="F3"/>
    </sheetView>
  </sheetViews>
  <sheetFormatPr defaultColWidth="43.7109375" defaultRowHeight="77.25" customHeight="1" x14ac:dyDescent="0.25"/>
  <cols>
    <col min="4" max="4" width="51.7109375" customWidth="1"/>
    <col min="5" max="5" width="63" customWidth="1"/>
    <col min="6" max="6" width="68.85546875" customWidth="1"/>
  </cols>
  <sheetData>
    <row r="1" spans="1:6" ht="140.25" customHeight="1" x14ac:dyDescent="0.25">
      <c r="A1" s="12" t="s">
        <v>28</v>
      </c>
      <c r="B1" s="13" t="s">
        <v>44</v>
      </c>
      <c r="C1" s="14" t="s">
        <v>43</v>
      </c>
      <c r="D1" s="15" t="s">
        <v>29</v>
      </c>
      <c r="E1" s="24" t="s">
        <v>53</v>
      </c>
      <c r="F1" s="8" t="s">
        <v>54</v>
      </c>
    </row>
    <row r="2" spans="1:6" ht="77.25" customHeight="1" x14ac:dyDescent="0.25">
      <c r="A2" s="17" t="s">
        <v>0</v>
      </c>
      <c r="B2" s="18">
        <v>584067.06000000006</v>
      </c>
      <c r="C2" s="19" t="s">
        <v>1</v>
      </c>
      <c r="D2" s="20" t="s">
        <v>45</v>
      </c>
    </row>
    <row r="3" spans="1:6" ht="77.25" customHeight="1" x14ac:dyDescent="0.25">
      <c r="A3" s="16"/>
      <c r="B3" s="16"/>
      <c r="C3" s="21"/>
      <c r="D3" s="16"/>
    </row>
    <row r="4" spans="1:6" ht="124.5" customHeight="1" x14ac:dyDescent="0.25">
      <c r="A4" s="22" t="s">
        <v>2</v>
      </c>
      <c r="B4" s="18">
        <v>100000</v>
      </c>
      <c r="C4" s="19" t="s">
        <v>3</v>
      </c>
      <c r="D4" s="20" t="s">
        <v>30</v>
      </c>
    </row>
    <row r="5" spans="1:6" ht="63.75" customHeight="1" x14ac:dyDescent="0.25">
      <c r="A5" s="22" t="s">
        <v>4</v>
      </c>
      <c r="B5" s="18">
        <v>120000</v>
      </c>
      <c r="C5" s="21">
        <v>4</v>
      </c>
      <c r="D5" s="20" t="s">
        <v>49</v>
      </c>
    </row>
    <row r="6" spans="1:6" ht="77.25" customHeight="1" x14ac:dyDescent="0.25">
      <c r="A6" s="22" t="s">
        <v>5</v>
      </c>
      <c r="B6" s="18">
        <v>30000</v>
      </c>
      <c r="C6" s="19" t="s">
        <v>6</v>
      </c>
      <c r="D6" s="20" t="s">
        <v>31</v>
      </c>
    </row>
    <row r="7" spans="1:6" ht="77.25" customHeight="1" x14ac:dyDescent="0.25">
      <c r="A7" s="22" t="s">
        <v>7</v>
      </c>
      <c r="B7" s="18">
        <v>21000</v>
      </c>
      <c r="C7" s="21">
        <v>11</v>
      </c>
      <c r="D7" s="20" t="s">
        <v>31</v>
      </c>
      <c r="E7" t="s">
        <v>51</v>
      </c>
    </row>
    <row r="8" spans="1:6" ht="77.25" customHeight="1" x14ac:dyDescent="0.25">
      <c r="A8" s="22" t="s">
        <v>8</v>
      </c>
      <c r="B8" s="18">
        <v>77000</v>
      </c>
      <c r="C8" s="19" t="s">
        <v>9</v>
      </c>
      <c r="D8" s="20" t="s">
        <v>31</v>
      </c>
    </row>
    <row r="9" spans="1:6" ht="77.25" customHeight="1" x14ac:dyDescent="0.25">
      <c r="A9" s="17" t="s">
        <v>10</v>
      </c>
      <c r="B9" s="18">
        <v>90000</v>
      </c>
      <c r="C9" s="16"/>
      <c r="D9" s="20" t="s">
        <v>46</v>
      </c>
    </row>
    <row r="10" spans="1:6" ht="48.75" customHeight="1" x14ac:dyDescent="0.25">
      <c r="A10" s="22" t="s">
        <v>11</v>
      </c>
      <c r="B10" s="18">
        <v>76189</v>
      </c>
      <c r="C10" s="19" t="s">
        <v>12</v>
      </c>
      <c r="D10" s="20" t="s">
        <v>32</v>
      </c>
    </row>
    <row r="11" spans="1:6" ht="77.25" customHeight="1" x14ac:dyDescent="0.25">
      <c r="A11" s="16"/>
      <c r="B11" s="16"/>
      <c r="C11" s="21"/>
      <c r="D11" s="16"/>
    </row>
    <row r="12" spans="1:6" ht="108" customHeight="1" x14ac:dyDescent="0.25">
      <c r="A12" s="22" t="s">
        <v>13</v>
      </c>
      <c r="B12" s="18">
        <f>B2-B4-B5-B6-B7-B8</f>
        <v>236067.06000000006</v>
      </c>
      <c r="C12" s="21"/>
      <c r="D12" s="20" t="s">
        <v>47</v>
      </c>
    </row>
    <row r="13" spans="1:6" ht="77.25" customHeight="1" x14ac:dyDescent="0.25">
      <c r="A13" s="16"/>
      <c r="B13" s="16"/>
      <c r="C13" s="21"/>
      <c r="D13" s="16"/>
    </row>
    <row r="14" spans="1:6" ht="77.25" customHeight="1" x14ac:dyDescent="0.25">
      <c r="A14" s="22" t="s">
        <v>14</v>
      </c>
      <c r="B14" s="18">
        <v>404611342.02000004</v>
      </c>
      <c r="C14" s="19" t="s">
        <v>15</v>
      </c>
      <c r="D14" s="20" t="s">
        <v>48</v>
      </c>
    </row>
    <row r="15" spans="1:6" ht="77.25" customHeight="1" x14ac:dyDescent="0.25">
      <c r="A15" s="22" t="s">
        <v>16</v>
      </c>
      <c r="B15" s="18">
        <v>13300469.890000001</v>
      </c>
      <c r="C15" s="19" t="s">
        <v>9</v>
      </c>
      <c r="D15" s="20" t="s">
        <v>34</v>
      </c>
    </row>
    <row r="16" spans="1:6" ht="77.25" customHeight="1" x14ac:dyDescent="0.25">
      <c r="A16" s="22" t="s">
        <v>17</v>
      </c>
      <c r="B16" s="18">
        <v>391310872.13</v>
      </c>
      <c r="C16" s="19" t="s">
        <v>18</v>
      </c>
      <c r="D16" s="20" t="s">
        <v>33</v>
      </c>
    </row>
    <row r="17" spans="1:4" ht="77.25" customHeight="1" x14ac:dyDescent="0.25">
      <c r="A17" s="16"/>
      <c r="B17" s="16"/>
      <c r="C17" s="21"/>
      <c r="D17" s="16"/>
    </row>
    <row r="18" spans="1:4" ht="77.25" customHeight="1" x14ac:dyDescent="0.25">
      <c r="A18" s="22" t="s">
        <v>19</v>
      </c>
      <c r="B18" s="18">
        <f>B20+B19</f>
        <v>105116874.66</v>
      </c>
      <c r="C18" s="19" t="s">
        <v>20</v>
      </c>
      <c r="D18" s="20" t="s">
        <v>35</v>
      </c>
    </row>
    <row r="19" spans="1:4" ht="77.25" customHeight="1" x14ac:dyDescent="0.25">
      <c r="A19" s="22" t="s">
        <v>21</v>
      </c>
      <c r="B19" s="18">
        <v>159300</v>
      </c>
      <c r="C19" s="19" t="s">
        <v>22</v>
      </c>
      <c r="D19" s="20" t="s">
        <v>36</v>
      </c>
    </row>
    <row r="20" spans="1:4" ht="77.25" customHeight="1" x14ac:dyDescent="0.25">
      <c r="A20" s="22" t="s">
        <v>23</v>
      </c>
      <c r="B20" s="18">
        <v>104957574.66</v>
      </c>
      <c r="C20" s="19" t="s">
        <v>15</v>
      </c>
      <c r="D20" s="20" t="s">
        <v>37</v>
      </c>
    </row>
    <row r="21" spans="1:4" ht="77.25" customHeight="1" x14ac:dyDescent="0.25">
      <c r="A21" s="16"/>
      <c r="B21" s="16"/>
      <c r="C21" s="21"/>
      <c r="D21" s="16"/>
    </row>
    <row r="22" spans="1:4" ht="77.25" customHeight="1" x14ac:dyDescent="0.25">
      <c r="A22" s="17" t="s">
        <v>24</v>
      </c>
      <c r="B22" s="18">
        <f>B18+B14</f>
        <v>509728216.68000007</v>
      </c>
      <c r="C22" s="23"/>
      <c r="D22" s="20" t="s">
        <v>38</v>
      </c>
    </row>
    <row r="23" spans="1:4" ht="77.25" customHeight="1" x14ac:dyDescent="0.25">
      <c r="A23" s="17"/>
      <c r="B23" s="18"/>
      <c r="C23" s="23"/>
      <c r="D23" s="16"/>
    </row>
    <row r="24" spans="1:4" ht="77.25" customHeight="1" x14ac:dyDescent="0.25">
      <c r="A24" s="22" t="s">
        <v>25</v>
      </c>
      <c r="B24" s="18">
        <v>16353682.09</v>
      </c>
      <c r="C24" s="23">
        <v>44</v>
      </c>
      <c r="D24" s="20" t="s">
        <v>41</v>
      </c>
    </row>
    <row r="25" spans="1:4" ht="77.25" customHeight="1" x14ac:dyDescent="0.25">
      <c r="A25" s="22" t="s">
        <v>50</v>
      </c>
      <c r="B25" s="18">
        <v>159300</v>
      </c>
      <c r="C25" s="23">
        <v>1</v>
      </c>
      <c r="D25" s="20" t="s">
        <v>39</v>
      </c>
    </row>
    <row r="26" spans="1:4" ht="77.25" customHeight="1" x14ac:dyDescent="0.25">
      <c r="A26" s="22" t="s">
        <v>26</v>
      </c>
      <c r="B26" s="18">
        <v>16194382.09</v>
      </c>
      <c r="C26" s="23">
        <v>43</v>
      </c>
      <c r="D26" s="20" t="s">
        <v>40</v>
      </c>
    </row>
    <row r="27" spans="1:4" ht="77.25" customHeight="1" x14ac:dyDescent="0.25">
      <c r="A27" s="13" t="s">
        <v>27</v>
      </c>
      <c r="B27" s="18">
        <f>B24+B14</f>
        <v>420965024.11000001</v>
      </c>
      <c r="C27" s="21"/>
      <c r="D27" s="20" t="s">
        <v>42</v>
      </c>
    </row>
    <row r="28" spans="1:4" ht="77.25" customHeight="1" x14ac:dyDescent="0.25">
      <c r="A28" s="16"/>
      <c r="B28" s="16"/>
      <c r="C28" s="16"/>
      <c r="D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Итого _платежи_договоры</vt:lpstr>
      <vt:lpstr>Итого_платежи_договоры_публ</vt:lpstr>
      <vt:lpstr>Итого_платежи_договоры_не публ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ЛАМБА Евгения Владимировна</dc:creator>
  <cp:lastModifiedBy>ЛАМБА Евгения Владимировна</cp:lastModifiedBy>
  <dcterms:created xsi:type="dcterms:W3CDTF">2026-04-15T11:52:24Z</dcterms:created>
  <dcterms:modified xsi:type="dcterms:W3CDTF">2026-04-17T13:25:01Z</dcterms:modified>
</cp:coreProperties>
</file>